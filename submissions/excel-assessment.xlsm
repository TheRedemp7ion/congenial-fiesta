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ank\Documents\GitHub\MapUp-Data-Assessment-F\submissions\"/>
    </mc:Choice>
  </mc:AlternateContent>
  <xr:revisionPtr revIDLastSave="0" documentId="13_ncr:1_{9FE4976D-EEE6-40FC-8D7B-8350BED9FFEC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34" i="20" l="1"/>
  <c r="C35" i="20"/>
  <c r="C24" i="20"/>
  <c r="C25" i="20"/>
  <c r="C26" i="20"/>
  <c r="C27" i="20"/>
  <c r="C28" i="20"/>
  <c r="C29" i="20"/>
  <c r="C30" i="20"/>
  <c r="C31" i="20"/>
  <c r="C32" i="20"/>
  <c r="C33" i="20"/>
  <c r="C23" i="20"/>
  <c r="C22" i="19" a="1"/>
  <c r="C22" i="19" s="1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B23" i="18"/>
  <c r="F22" i="18"/>
  <c r="E22" i="18"/>
  <c r="D22" i="18"/>
  <c r="C22" i="18"/>
  <c r="B22" i="18"/>
  <c r="F21" i="18"/>
  <c r="E21" i="18"/>
  <c r="D21" i="18"/>
  <c r="C21" i="18"/>
  <c r="B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F7" i="18"/>
  <c r="E7" i="18"/>
  <c r="D7" i="18"/>
  <c r="C7" i="18"/>
  <c r="B7" i="18"/>
  <c r="F6" i="18"/>
  <c r="F28" i="18" s="1"/>
  <c r="E6" i="18"/>
  <c r="E29" i="18" s="1"/>
  <c r="D6" i="18"/>
  <c r="D30" i="18" s="1"/>
  <c r="C6" i="18"/>
  <c r="C30" i="18" s="1"/>
  <c r="B6" i="18"/>
  <c r="B28" i="18" s="1"/>
  <c r="C5" i="15"/>
  <c r="C28" i="18" l="1"/>
  <c r="B29" i="18"/>
  <c r="F29" i="18"/>
  <c r="E30" i="18"/>
  <c r="D28" i="18"/>
  <c r="C29" i="18"/>
  <c r="B30" i="18"/>
  <c r="F30" i="18"/>
  <c r="E28" i="18"/>
  <c r="D29" i="18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<sst xmlns="http://schemas.openxmlformats.org/spreadsheetml/2006/main" count="406" uniqueCount="183">
  <si>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</si>
  <si>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</si>
  <si>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</si>
  <si>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</si>
  <si>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</si>
  <si>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</si>
  <si>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</si>
  <si>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</si>
  <si>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</si>
  <si>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</si>
  <si>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</si>
  <si>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</si>
  <si>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</si>
  <si>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</si>
  <si>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</si>
  <si>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</si>
  <si>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</si>
  <si>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</si>
  <si>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</si>
  <si>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</si>
  <si>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</si>
  <si>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</si>
  <si>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</si>
  <si>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</si>
  <si>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</si>
  <si>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</si>
  <si>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</si>
  <si>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</si>
  <si>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</si>
  <si>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</si>
  <si>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</si>
  <si>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</si>
  <si>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</si>
  <si>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</si>
  <si>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</si>
  <si>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</si>
  <si>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</si>
  <si>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</si>
  <si>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</si>
  <si>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</si>
  <si>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</si>
  <si>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</si>
  <si>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</si>
  <si>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</si>
  <si>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</si>
  <si>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</si>
  <si>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</si>
  <si>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</si>
  <si>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</si>
  <si>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</si>
  <si>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</si>
  <si>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</si>
  <si>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</si>
  <si>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</si>
  <si>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</si>
  <si>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</si>
  <si>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</si>
  <si>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</si>
  <si>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</si>
  <si>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</si>
  <si>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</si>
  <si>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</si>
  <si>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</si>
  <si>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</si>
  <si>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</si>
  <si>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</si>
  <si>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</si>
  <si>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</si>
  <si>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</si>
  <si>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</si>
  <si>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</si>
  <si>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</si>
  <si>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</si>
  <si>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</si>
  <si>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</si>
  <si>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</si>
  <si>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</si>
  <si>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</si>
  <si>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</si>
  <si>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</si>
  <si>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</si>
  <si>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</si>
  <si>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</si>
  <si>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</si>
  <si>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</si>
  <si>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</si>
  <si>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</si>
  <si>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</si>
  <si>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</si>
  <si>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</si>
  <si>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</si>
  <si>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</si>
  <si>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</si>
  <si>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</si>
  <si>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</si>
  <si>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</si>
  <si>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</si>
  <si>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</si>
  <si>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</si>
  <si>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</si>
  <si>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</si>
  <si>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</si>
  <si>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</si>
  <si>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</si>
  <si>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</si>
  <si>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</si>
  <si>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</si>
  <si>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</si>
  <si>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</si>
  <si>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</si>
  <si>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</si>
  <si>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</si>
  <si>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</si>
  <si>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</si>
  <si>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</si>
  <si>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</si>
  <si>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</si>
  <si>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</si>
  <si>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</si>
  <si>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</si>
  <si>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</si>
  <si>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</si>
  <si>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</si>
  <si>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</si>
  <si>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</si>
  <si>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</si>
  <si>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</si>
  <si>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</si>
  <si>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</si>
  <si>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</si>
  <si>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</si>
  <si>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</si>
  <si>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</si>
  <si>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</si>
  <si>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</si>
  <si>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</si>
  <si>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</si>
  <si>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</si>
  <si>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</si>
  <si>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</si>
  <si>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</si>
  <si>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</si>
  <si>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</si>
  <si>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</si>
  <si>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</si>
  <si>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</si>
  <si>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</si>
  <si>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</si>
  <si>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</si>
  <si>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</si>
  <si>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</si>
  <si>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</si>
  <si>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</si>
  <si>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</si>
  <si>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</si>
  <si>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</si>
  <si>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</si>
  <si>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</si>
  <si>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</si>
  <si>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</si>
  <si>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</si>
  <si>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</si>
  <si>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</si>
  <si>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</si>
  <si>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</si>
  <si>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</si>
  <si>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</si>
  <si>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</si>
  <si>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</si>
  <si>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</si>
  <si>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</si>
  <si>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</si>
  <si>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</si>
  <si>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</si>
  <si>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</si>
  <si>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</si>
  <si>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</si>
  <si>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using te text to columns , split the source text on delimiter "-" and paste them in the other columns</t>
  </si>
  <si>
    <t>sum and iferror. We replace null values with 20 then continue with the sum</t>
  </si>
  <si>
    <t>INDEX, MATCH, VLOOKUP</t>
  </si>
  <si>
    <t>Index is used to get the final value ased on the location of Letters</t>
  </si>
  <si>
    <t>Match is used to get the relative location of data pointto be uused by index</t>
  </si>
  <si>
    <t>VLOOKUP is used to lookup numebr to letter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</si>
</sst>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1F1F1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7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0" fontId="19" fillId="0" borderId="0" xfId="0" applyFont="1"/>
  </cellXfs>
  <cellStyles count="19">
    <cellStyle name="Normal" xfId="0" builtinId="0"/>
    <cellStyle name="Normal 2" xfId="1" xr:uid="{00000000-0005-0000-0000-000001000000}"/>
    <cellStyle name="Normal 2 2" xfId="3" xr:uid="{00000000-0005-0000-0000-000003000000}"/>
    <cellStyle name="Normal 2 2 2" xfId="13" xr:uid="{B725CA47-30C5-4E63-868A-1526538A97FD}"/>
    <cellStyle name="Normal 2 3" xfId="7" xr:uid="{00000000-0005-0000-0000-000007000000}"/>
    <cellStyle name="Normal 2 3 2" xfId="16" xr:uid="{1AB4F3DE-7019-4DC4-93C2-3ABCA138E0F1}"/>
    <cellStyle name="Normal 2 4" xfId="11" xr:uid="{C6279AA2-522B-4277-B366-DF8E82D0DAC7}"/>
    <cellStyle name="Normal 3" xfId="2" xr:uid="{00000000-0005-0000-0000-000002000000}"/>
    <cellStyle name="Normal 3 2" xfId="8" xr:uid="{00000000-0005-0000-0000-000008000000}"/>
    <cellStyle name="Normal 3 2 2" xfId="17" xr:uid="{56561232-535C-4DA2-9FA6-0827A69A28D9}"/>
    <cellStyle name="Normal 3 3" xfId="12" xr:uid="{77AA299A-6799-4691-8D46-D1EDFD03772A}"/>
    <cellStyle name="Normal 4" xfId="4" xr:uid="{00000000-0005-0000-0000-000004000000}"/>
    <cellStyle name="Normal 4 2" xfId="14" xr:uid="{AB513427-DD0E-4B4A-ADEF-60555E9B158F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5 3 2" xfId="18" xr:uid="{4A83319F-A758-4525-AAF7-21D1055AE941}"/>
    <cellStyle name="Normal 5 4" xfId="15" xr:uid="{00EE1C85-29E7-4EA8-BC90-B9EB24869765}"/>
    <cellStyle name="Normal 7" xfId="9" xr:uid="{00000000-0005-0000-0000-000009000000}"/>
  </cellStyles>
  <dxfs count="4">
    <dxf>
      <font>
        <color rgb="FF00B050"/>
      </font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X10" sqref="X10"/>
    </sheetView>
  </sheetViews>
  <sheetFormatPr defaultColWidth="13.83203125" defaultRowHeight="15" x14ac:dyDescent="0.25"/>
  <cols>
    <col min="1" max="3" width="13.83203125" style="1"/>
    <col min="4" max="4" width="13.83203125" style="23"/>
    <col min="5" max="5" width="13.83203125" style="1"/>
    <col min="6" max="6" width="13.83203125" style="23"/>
    <col min="7" max="23" width="13.83203125" style="1"/>
    <col min="24" max="24" width="13.83203125" style="45"/>
    <col min="25" max="16384" width="13.83203125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XFD1048576">
    <cfRule type="cellIs" dxfId="1" priority="3" operator="equal">
      <formula>-1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86.33203125" style="1" customWidth="1"/>
    <col min="3" max="3" width="47.16406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SUMIF(Dataset!H2:H40, "&gt; 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F22" sqref="F22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 Dataset!$A$1:$I$40, 7,0)</f>
        <v>2.7</v>
      </c>
      <c r="C6" s="11">
        <f>VLOOKUP($A6, Dataset!$A:$W,14,0)</f>
        <v>7.6</v>
      </c>
      <c r="D6" s="11">
        <f>VLOOKUP($A6, Dataset!$A:$W,18,0)</f>
        <v>4.2</v>
      </c>
      <c r="E6" s="11">
        <f>VLOOKUP($A6, Dataset!$A:$W,20,0)</f>
        <v>8.9</v>
      </c>
      <c r="F6" s="11">
        <f>VLOOKUP($A6, Dataset!$A:$W,22,0)</f>
        <v>4.2</v>
      </c>
    </row>
    <row r="7" spans="1:7" ht="15" x14ac:dyDescent="0.25">
      <c r="A7" s="7" t="s">
        <v>4</v>
      </c>
      <c r="B7" s="11">
        <f>VLOOKUP($A7, Dataset!$A$1:$I$40, 7,0)</f>
        <v>2.7</v>
      </c>
      <c r="C7" s="11">
        <f>VLOOKUP($A7, Dataset!A:W,14,0)</f>
        <v>7.6</v>
      </c>
      <c r="D7" s="11">
        <f>VLOOKUP($A7, Dataset!$A:$W,18,0)</f>
        <v>4.2</v>
      </c>
      <c r="E7" s="11">
        <f>VLOOKUP($A7, Dataset!$A:$W,20,0)</f>
        <v>8.9</v>
      </c>
      <c r="F7" s="11">
        <f>VLOOKUP($A7, Dataset!$A:$W,22,0)</f>
        <v>4.2</v>
      </c>
    </row>
    <row r="8" spans="1:7" ht="15" x14ac:dyDescent="0.25">
      <c r="A8" s="7" t="s">
        <v>7</v>
      </c>
      <c r="B8" s="11">
        <f>VLOOKUP($A8, Dataset!$A$1:$I$40, 7,0)</f>
        <v>3.6</v>
      </c>
      <c r="C8" s="11">
        <f>VLOOKUP($A8, Dataset!A:W,14,0)</f>
        <v>11.1</v>
      </c>
      <c r="D8" s="11">
        <f>VLOOKUP($A8, Dataset!$A:$W,18,0)</f>
        <v>5.8</v>
      </c>
      <c r="E8" s="11">
        <f>VLOOKUP($A8, Dataset!$A:$W,20,0)</f>
        <v>12.2</v>
      </c>
      <c r="F8" s="11">
        <f>VLOOKUP($A8, Dataset!$A:$W,22,0)</f>
        <v>5.8</v>
      </c>
    </row>
    <row r="9" spans="1:7" ht="15" x14ac:dyDescent="0.25">
      <c r="A9" s="7" t="s">
        <v>8</v>
      </c>
      <c r="B9" s="11">
        <f>VLOOKUP($A9, Dataset!$A$1:$I$40, 7,0)</f>
        <v>4.9000000000000004</v>
      </c>
      <c r="C9" s="11">
        <f>VLOOKUP($A9, Dataset!A:W,14,0)</f>
        <v>13.3</v>
      </c>
      <c r="D9" s="11">
        <f>VLOOKUP($A9, Dataset!$A:$W,18,0)</f>
        <v>8.1</v>
      </c>
      <c r="E9" s="11">
        <f>VLOOKUP($A9, Dataset!$A:$W,20,0)</f>
        <v>17</v>
      </c>
      <c r="F9" s="11">
        <f>VLOOKUP($A9, Dataset!$A:$W,22,0)</f>
        <v>8.1</v>
      </c>
    </row>
    <row r="10" spans="1:7" ht="15" x14ac:dyDescent="0.25">
      <c r="A10" s="7" t="s">
        <v>11</v>
      </c>
      <c r="B10" s="11">
        <f>VLOOKUP($A10, Dataset!$A$1:$I$40, 7,0)</f>
        <v>9.4</v>
      </c>
      <c r="C10" s="11">
        <f>VLOOKUP($A10, Dataset!A:W,14,0)</f>
        <v>28.3</v>
      </c>
      <c r="D10" s="11">
        <f>VLOOKUP($A10, Dataset!$A:$W,18,0)</f>
        <v>16.100000000000001</v>
      </c>
      <c r="E10" s="11">
        <f>VLOOKUP($A10, Dataset!$A:$W,20,0)</f>
        <v>32.799999999999997</v>
      </c>
      <c r="F10" s="11">
        <f>VLOOKUP($A10, Dataset!$A:$W,22,0)</f>
        <v>16.100000000000001</v>
      </c>
    </row>
    <row r="11" spans="1:7" ht="15" x14ac:dyDescent="0.25">
      <c r="A11" s="7" t="s">
        <v>12</v>
      </c>
      <c r="B11" s="11">
        <f>VLOOKUP($A11, Dataset!$A$1:$I$40, 7,0)</f>
        <v>11.6</v>
      </c>
      <c r="C11" s="11">
        <f>VLOOKUP($A11, Dataset!A:W,14,0)</f>
        <v>35.200000000000003</v>
      </c>
      <c r="D11" s="11">
        <f>VLOOKUP($A11, Dataset!$A:$W,18,0)</f>
        <v>21.3</v>
      </c>
      <c r="E11" s="11">
        <f>VLOOKUP($A11, Dataset!$A:$W,20,0)</f>
        <v>43</v>
      </c>
      <c r="F11" s="11">
        <f>VLOOKUP($A11, Dataset!$A:$W,22,0)</f>
        <v>21.3</v>
      </c>
    </row>
    <row r="12" spans="1:7" ht="15" x14ac:dyDescent="0.25">
      <c r="A12" s="7" t="s">
        <v>14</v>
      </c>
      <c r="B12" s="11">
        <f>VLOOKUP($A12, Dataset!$A$1:$I$40, 7,0)</f>
        <v>18.399999999999999</v>
      </c>
      <c r="C12" s="11">
        <f>VLOOKUP($A12, Dataset!A:W,14,0)</f>
        <v>55.6</v>
      </c>
      <c r="D12" s="11">
        <f>VLOOKUP($A12, Dataset!$A:$W,18,0)</f>
        <v>33.799999999999997</v>
      </c>
      <c r="E12" s="11">
        <f>VLOOKUP($A12, Dataset!$A:$W,20,0)</f>
        <v>67.900000000000006</v>
      </c>
      <c r="F12" s="11">
        <f>VLOOKUP($A12, Dataset!$A:$W,22,0)</f>
        <v>33.799999999999997</v>
      </c>
    </row>
    <row r="13" spans="1:7" ht="15" x14ac:dyDescent="0.25">
      <c r="A13" s="7" t="s">
        <v>15</v>
      </c>
      <c r="B13" s="11">
        <f>VLOOKUP($A13, Dataset!$A$1:$I$40, 7,0)</f>
        <v>0</v>
      </c>
      <c r="C13" s="11">
        <f>VLOOKUP($A13, Dataset!A:W,14,0)</f>
        <v>0</v>
      </c>
      <c r="D13" s="11">
        <f>VLOOKUP($A13, Dataset!$A:$W,18,0)</f>
        <v>0</v>
      </c>
      <c r="E13" s="11">
        <f>VLOOKUP($A13, Dataset!$A:$W,20,0)</f>
        <v>0</v>
      </c>
      <c r="F13" s="11">
        <f>VLOOKUP($A13, Dataset!$A:$W,22,0)</f>
        <v>0</v>
      </c>
    </row>
    <row r="14" spans="1:7" ht="15" x14ac:dyDescent="0.25">
      <c r="A14" s="7" t="s">
        <v>16</v>
      </c>
      <c r="B14" s="11">
        <f>VLOOKUP($A14, Dataset!$A$1:$I$40, 7,0)</f>
        <v>21.9</v>
      </c>
      <c r="C14" s="11">
        <f>VLOOKUP($A14, Dataset!A:W,14,0)</f>
        <v>61.5</v>
      </c>
      <c r="D14" s="11">
        <f>VLOOKUP($A14, Dataset!$A:$W,18,0)</f>
        <v>40.1</v>
      </c>
      <c r="E14" s="11">
        <f>VLOOKUP($A14, Dataset!$A:$W,20,0)</f>
        <v>76.599999999999994</v>
      </c>
      <c r="F14" s="11">
        <f>VLOOKUP($A14, Dataset!$A:$W,22,0)</f>
        <v>40.1</v>
      </c>
    </row>
    <row r="15" spans="1:7" ht="15" x14ac:dyDescent="0.25">
      <c r="A15" s="7" t="s">
        <v>18</v>
      </c>
      <c r="B15" s="11">
        <f>VLOOKUP($A15, Dataset!$A$1:$I$40, 7,0)</f>
        <v>26.8</v>
      </c>
      <c r="C15" s="11">
        <f>VLOOKUP($A15, Dataset!A:W,14,0)</f>
        <v>79.599999999999994</v>
      </c>
      <c r="D15" s="11">
        <f>VLOOKUP($A15, Dataset!$A:$W,18,0)</f>
        <v>47.9</v>
      </c>
      <c r="E15" s="11">
        <f>VLOOKUP($A15, Dataset!$A:$W,20,0)</f>
        <v>96.8</v>
      </c>
      <c r="F15" s="11">
        <f>VLOOKUP($A15, Dataset!$A:$W,22,0)</f>
        <v>47.9</v>
      </c>
    </row>
    <row r="16" spans="1:7" ht="15" x14ac:dyDescent="0.25">
      <c r="A16" s="7" t="s">
        <v>20</v>
      </c>
      <c r="B16" s="11">
        <f>VLOOKUP($A16, Dataset!$A$1:$I$40, 7,0)</f>
        <v>28.5</v>
      </c>
      <c r="C16" s="11">
        <f>VLOOKUP($A16, Dataset!A:W,14,0)</f>
        <v>85.4</v>
      </c>
      <c r="D16" s="11">
        <f>VLOOKUP($A16, Dataset!$A:$W,18,0)</f>
        <v>52.3</v>
      </c>
      <c r="E16" s="11">
        <f>VLOOKUP($A16, Dataset!$A:$W,20,0)</f>
        <v>106.1</v>
      </c>
      <c r="F16" s="11">
        <f>VLOOKUP($A16, Dataset!$A:$W,22,0)</f>
        <v>52.3</v>
      </c>
    </row>
    <row r="17" spans="1:6" ht="15" x14ac:dyDescent="0.25">
      <c r="A17" s="7" t="s">
        <v>22</v>
      </c>
      <c r="B17" s="11">
        <f>VLOOKUP($A17, Dataset!$A$1:$I$40, 7,0)</f>
        <v>30.7</v>
      </c>
      <c r="C17" s="11">
        <f>VLOOKUP($A17, Dataset!A:W,14,0)</f>
        <v>92.1</v>
      </c>
      <c r="D17" s="11">
        <f>VLOOKUP($A17, Dataset!$A:$W,18,0)</f>
        <v>57</v>
      </c>
      <c r="E17" s="11">
        <f>VLOOKUP($A17, Dataset!$A:$W,20,0)</f>
        <v>115.1</v>
      </c>
      <c r="F17" s="11">
        <f>VLOOKUP($A17, Dataset!$A:$W,22,0)</f>
        <v>57</v>
      </c>
    </row>
    <row r="18" spans="1:6" ht="15" x14ac:dyDescent="0.25">
      <c r="A18" s="7" t="s">
        <v>23</v>
      </c>
      <c r="B18" s="11">
        <f>VLOOKUP($A18, Dataset!$A$1:$I$40, 7,0)</f>
        <v>33.799999999999997</v>
      </c>
      <c r="C18" s="11">
        <f>VLOOKUP($A18, Dataset!A:W,14,0)</f>
        <v>101.3</v>
      </c>
      <c r="D18" s="11">
        <f>VLOOKUP($A18, Dataset!$A:$W,18,0)</f>
        <v>61.4</v>
      </c>
      <c r="E18" s="11">
        <f>VLOOKUP($A18, Dataset!$A:$W,20,0)</f>
        <v>124.4</v>
      </c>
      <c r="F18" s="11">
        <f>VLOOKUP($A18, Dataset!$A:$W,22,0)</f>
        <v>61.4</v>
      </c>
    </row>
    <row r="19" spans="1:6" ht="15" x14ac:dyDescent="0.25">
      <c r="A19" s="7" t="s">
        <v>24</v>
      </c>
      <c r="B19" s="11">
        <f>VLOOKUP($A19, Dataset!$A$1:$I$40, 7,0)</f>
        <v>34.700000000000003</v>
      </c>
      <c r="C19" s="11">
        <f>VLOOKUP($A19, Dataset!A:W,14,0)</f>
        <v>106.1</v>
      </c>
      <c r="D19" s="11">
        <f>VLOOKUP($A19, Dataset!$A:$W,18,0)</f>
        <v>63.6</v>
      </c>
      <c r="E19" s="11">
        <f>VLOOKUP($A19, Dataset!$A:$W,20,0)</f>
        <v>128.6</v>
      </c>
      <c r="F19" s="11">
        <f>VLOOKUP($A19, Dataset!$A:$W,22,0)</f>
        <v>63.6</v>
      </c>
    </row>
    <row r="20" spans="1:6" ht="15" x14ac:dyDescent="0.25">
      <c r="A20" s="7" t="s">
        <v>28</v>
      </c>
      <c r="B20" s="11">
        <f>VLOOKUP($A20, Dataset!$A$1:$I$40, 7,0)</f>
        <v>0</v>
      </c>
      <c r="C20" s="11">
        <f>VLOOKUP($A20, Dataset!A:W,14,0)</f>
        <v>0</v>
      </c>
      <c r="D20" s="11">
        <f>VLOOKUP($A20, Dataset!$A:$W,18,0)</f>
        <v>0</v>
      </c>
      <c r="E20" s="11">
        <f>VLOOKUP($A20, Dataset!$A:$W,20,0)</f>
        <v>0</v>
      </c>
      <c r="F20" s="11">
        <f>VLOOKUP($A20, Dataset!$A:$W,22,0)</f>
        <v>0</v>
      </c>
    </row>
    <row r="21" spans="1:6" ht="15" x14ac:dyDescent="0.25">
      <c r="A21" s="7" t="s">
        <v>57</v>
      </c>
      <c r="B21" s="11">
        <f>VLOOKUP($A21, Dataset!$A$1:$I$40, 7,0)</f>
        <v>41.3</v>
      </c>
      <c r="C21" s="11">
        <f>VLOOKUP($A21, Dataset!A:W,14,0)</f>
        <v>124.4</v>
      </c>
      <c r="D21" s="11">
        <f>VLOOKUP($A21, Dataset!$A:$W,18,0)</f>
        <v>75</v>
      </c>
      <c r="E21" s="11">
        <f>VLOOKUP($A21, Dataset!$A:$W,20,0)</f>
        <v>151.5</v>
      </c>
      <c r="F21" s="11">
        <f>VLOOKUP($A21, Dataset!$A:$W,22,0)</f>
        <v>75</v>
      </c>
    </row>
    <row r="22" spans="1:6" ht="15" x14ac:dyDescent="0.25">
      <c r="A22" s="7" t="s">
        <v>58</v>
      </c>
      <c r="B22" s="11">
        <f>VLOOKUP($A22, Dataset!$A$1:$I$40, 7,0)</f>
        <v>-1</v>
      </c>
      <c r="C22" s="11">
        <f>VLOOKUP($A22, Dataset!A:W,14,0)</f>
        <v>-1</v>
      </c>
      <c r="D22" s="11">
        <f>VLOOKUP($A22, Dataset!$A:$W,18,0)</f>
        <v>-1</v>
      </c>
      <c r="E22" s="11">
        <f>VLOOKUP($A22, Dataset!$A:$W,20,0)</f>
        <v>-1</v>
      </c>
      <c r="F22" s="11">
        <f>VLOOKUP($A22, Dataset!$A:$W,22,0)</f>
        <v>-1</v>
      </c>
    </row>
    <row r="23" spans="1:6" ht="15" x14ac:dyDescent="0.25">
      <c r="A23" s="7" t="s">
        <v>31</v>
      </c>
      <c r="B23" s="11">
        <f>VLOOKUP($A23, Dataset!$A$1:$I$40, 7,0)</f>
        <v>45</v>
      </c>
      <c r="C23" s="11">
        <f>VLOOKUP($A23, Dataset!A:W,14,0)</f>
        <v>133.4</v>
      </c>
      <c r="D23" s="11">
        <f>VLOOKUP($A23, Dataset!$A:$W,18,0)</f>
        <v>79.400000000000006</v>
      </c>
      <c r="E23" s="11">
        <f>VLOOKUP($A23, Dataset!$A:$W,20,0)</f>
        <v>160.9</v>
      </c>
      <c r="F23" s="11">
        <f>VLOOKUP($A23, Dataset!$A:$W,22,0)</f>
        <v>79.400000000000006</v>
      </c>
    </row>
    <row r="24" spans="1:6" ht="15" x14ac:dyDescent="0.25">
      <c r="A24" s="7" t="s">
        <v>32</v>
      </c>
      <c r="B24" s="11">
        <f>VLOOKUP($A24, Dataset!$A$1:$I$40, 7,0)</f>
        <v>-1</v>
      </c>
      <c r="C24" s="11">
        <f>VLOOKUP($A24, Dataset!A:W,14,0)</f>
        <v>-1</v>
      </c>
      <c r="D24" s="11">
        <f>VLOOKUP($A24, Dataset!$A:$W,18,0)</f>
        <v>-1</v>
      </c>
      <c r="E24" s="11">
        <f>VLOOKUP($A24, Dataset!$A:$W,20,0)</f>
        <v>-1</v>
      </c>
      <c r="F24" s="11">
        <f>VLOOKUP($A24, Dataset!$A:$W,22,0)</f>
        <v>-1</v>
      </c>
    </row>
    <row r="25" spans="1:6" ht="15" x14ac:dyDescent="0.25">
      <c r="A25" s="7" t="s">
        <v>34</v>
      </c>
      <c r="B25" s="11">
        <f>VLOOKUP($A25, Dataset!$A$1:$I$40, 7,0)</f>
        <v>43.3</v>
      </c>
      <c r="C25" s="11">
        <f>VLOOKUP($A25, Dataset!A:W,14,0)</f>
        <v>128.6</v>
      </c>
      <c r="D25" s="11">
        <f>VLOOKUP($A25, Dataset!$A:$W,18,0)</f>
        <v>79.400000000000006</v>
      </c>
      <c r="E25" s="11">
        <f>VLOOKUP($A25, Dataset!$A:$W,20,0)</f>
        <v>160.9</v>
      </c>
      <c r="F25" s="11">
        <f>VLOOKUP($A25, Dataset!$A:$W,22,0)</f>
        <v>79.400000000000006</v>
      </c>
    </row>
    <row r="26" spans="1:6" ht="15" x14ac:dyDescent="0.25">
      <c r="A26" s="7" t="s">
        <v>37</v>
      </c>
      <c r="B26" s="11">
        <f>VLOOKUP($A26, Dataset!$A$1:$I$40, 7,0)</f>
        <v>49.1</v>
      </c>
      <c r="C26" s="11">
        <f>VLOOKUP($A26, Dataset!A:W,14,0)</f>
        <v>146.80000000000001</v>
      </c>
      <c r="D26" s="11">
        <f>VLOOKUP($A26, Dataset!$A:$W,18,0)</f>
        <v>90.9</v>
      </c>
      <c r="E26" s="11">
        <f>VLOOKUP($A26, Dataset!$A:$W,20,0)</f>
        <v>183.5</v>
      </c>
      <c r="F26" s="11">
        <f>VLOOKUP($A26, Dataset!$A:$W,22,0)</f>
        <v>90.9</v>
      </c>
    </row>
    <row r="27" spans="1:6" ht="15" x14ac:dyDescent="0.25">
      <c r="A27" s="7" t="s">
        <v>39</v>
      </c>
      <c r="B27" s="11">
        <f>VLOOKUP($A27, Dataset!$A$1:$I$40, 7,0)</f>
        <v>51.8</v>
      </c>
      <c r="C27" s="11">
        <f>VLOOKUP($A27, Dataset!A:W,14,0)</f>
        <v>156.4</v>
      </c>
      <c r="D27" s="11">
        <f>VLOOKUP($A27, Dataset!$A:$W,18,0)</f>
        <v>93.1</v>
      </c>
      <c r="E27" s="11">
        <f>VLOOKUP($A27, Dataset!$A:$W,20,0)</f>
        <v>188.1</v>
      </c>
      <c r="F27" s="11">
        <f>VLOOKUP($A27, Dataset!$A:$W,22,0)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177</v>
      </c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178</v>
      </c>
    </row>
    <row r="7" spans="1:3" ht="15" x14ac:dyDescent="0.25">
      <c r="A7" s="3" t="s">
        <v>153</v>
      </c>
      <c r="B7" s="1"/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6" zoomScaleNormal="100" workbookViewId="0">
      <selection activeCell="C8" sqref="C8"/>
    </sheetView>
  </sheetViews>
  <sheetFormatPr defaultColWidth="11" defaultRowHeight="12.75" x14ac:dyDescent="0.2"/>
  <cols>
    <col min="1" max="1" width="28.1640625" style="2" bestFit="1" customWidth="1"/>
    <col min="2" max="5" width="11" style="2"/>
    <col min="6" max="6" width="12.6640625" style="2" bestFit="1" customWidth="1"/>
    <col min="7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C4" s="2" t="s">
        <v>179</v>
      </c>
    </row>
    <row r="5" spans="1:14" ht="18.75" x14ac:dyDescent="0.3">
      <c r="A5" s="42" t="s">
        <v>153</v>
      </c>
      <c r="B5" s="1"/>
      <c r="C5" s="2" t="s">
        <v>180</v>
      </c>
    </row>
    <row r="6" spans="1:14" ht="15" x14ac:dyDescent="0.25">
      <c r="A6" s="3"/>
      <c r="B6" s="1"/>
      <c r="C6" s="2" t="s">
        <v>181</v>
      </c>
    </row>
    <row r="7" spans="1:14" x14ac:dyDescent="0.2">
      <c r="C7" s="2" t="s">
        <v>182</v>
      </c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.75" x14ac:dyDescent="0.25">
      <c r="A23" s="7">
        <v>10100</v>
      </c>
      <c r="B23" s="11">
        <v>10102</v>
      </c>
      <c r="C23" s="43">
        <f>INDEX($A$9:$J$18,MATCH(VLOOKUP($A23,$M:$N,2,0),$A$9:$J$9,0),MATCH(VLOOKUP($B23,$M:$N,2,0),$A$9:$J$9,0))</f>
        <v>95</v>
      </c>
      <c r="D23" s="43"/>
      <c r="E23" s="43"/>
      <c r="F23" s="46"/>
    </row>
    <row r="24" spans="1:14" ht="15" x14ac:dyDescent="0.25">
      <c r="A24" s="7">
        <v>10100</v>
      </c>
      <c r="B24" s="11">
        <v>10104</v>
      </c>
      <c r="C24" s="43">
        <f t="shared" ref="C24:C35" si="0">INDEX($A$9:$J$18,MATCH(VLOOKUP($A24,$M:$N,2,0),$A$9:$J$9,0),MATCH(VLOOKUP($B24,$M:$N,2,0),$A$9:$J$9,0))</f>
        <v>-1</v>
      </c>
      <c r="D24" s="43"/>
      <c r="E24" s="43"/>
    </row>
    <row r="25" spans="1:14" ht="15" x14ac:dyDescent="0.25">
      <c r="A25" s="7">
        <v>10108</v>
      </c>
      <c r="B25" s="11">
        <v>10102</v>
      </c>
      <c r="C25" s="43">
        <f t="shared" si="0"/>
        <v>160</v>
      </c>
      <c r="D25" s="43"/>
      <c r="E25" s="43"/>
    </row>
    <row r="26" spans="1:14" ht="15" x14ac:dyDescent="0.25">
      <c r="A26" s="7">
        <v>10100</v>
      </c>
      <c r="B26" s="11">
        <v>10106</v>
      </c>
      <c r="C26" s="43">
        <f t="shared" si="0"/>
        <v>185</v>
      </c>
      <c r="D26" s="43"/>
      <c r="E26" s="43"/>
    </row>
    <row r="27" spans="1:14" ht="15" x14ac:dyDescent="0.25">
      <c r="A27" s="7">
        <v>10108</v>
      </c>
      <c r="B27" s="11">
        <v>10110</v>
      </c>
      <c r="C27" s="43">
        <f t="shared" si="0"/>
        <v>50</v>
      </c>
      <c r="D27" s="43"/>
      <c r="E27" s="43"/>
    </row>
    <row r="28" spans="1:14" ht="15" x14ac:dyDescent="0.25">
      <c r="A28" s="7">
        <v>10102</v>
      </c>
      <c r="B28" s="11">
        <v>10104</v>
      </c>
      <c r="C28" s="43">
        <f t="shared" si="0"/>
        <v>-1</v>
      </c>
      <c r="D28" s="43"/>
      <c r="E28" s="43"/>
    </row>
    <row r="29" spans="1:14" ht="15" x14ac:dyDescent="0.25">
      <c r="A29" s="7">
        <v>10106</v>
      </c>
      <c r="B29" s="11">
        <v>10108</v>
      </c>
      <c r="C29" s="43">
        <f t="shared" si="0"/>
        <v>70</v>
      </c>
      <c r="D29" s="43"/>
      <c r="E29" s="43"/>
    </row>
    <row r="30" spans="1:14" ht="15" x14ac:dyDescent="0.25">
      <c r="A30" s="7">
        <v>10102</v>
      </c>
      <c r="B30" s="11">
        <v>10106</v>
      </c>
      <c r="C30" s="43">
        <f t="shared" si="0"/>
        <v>90</v>
      </c>
      <c r="D30" s="43"/>
      <c r="E30" s="43"/>
    </row>
    <row r="31" spans="1:14" ht="15" x14ac:dyDescent="0.25">
      <c r="A31" s="7">
        <v>10110</v>
      </c>
      <c r="B31" s="11">
        <v>10114</v>
      </c>
      <c r="C31" s="43">
        <f t="shared" si="0"/>
        <v>180</v>
      </c>
      <c r="D31" s="43"/>
      <c r="E31" s="43"/>
    </row>
    <row r="32" spans="1:14" ht="15" x14ac:dyDescent="0.25">
      <c r="A32" s="7">
        <v>10104</v>
      </c>
      <c r="B32" s="11">
        <v>10106</v>
      </c>
      <c r="C32" s="43">
        <f t="shared" si="0"/>
        <v>60</v>
      </c>
      <c r="D32" s="43"/>
      <c r="E32" s="43"/>
    </row>
    <row r="33" spans="1:5" ht="15" x14ac:dyDescent="0.25">
      <c r="A33" s="7">
        <v>10110</v>
      </c>
      <c r="B33" s="11">
        <v>10112</v>
      </c>
      <c r="C33" s="43">
        <f t="shared" si="0"/>
        <v>115</v>
      </c>
      <c r="D33" s="43"/>
      <c r="E33" s="43"/>
    </row>
    <row r="34" spans="1:5" ht="15" x14ac:dyDescent="0.25">
      <c r="A34" s="7">
        <v>10100</v>
      </c>
      <c r="B34" s="11">
        <v>10114</v>
      </c>
      <c r="C34" s="43">
        <f>INDEX($A$9:$J$18,MATCH(VLOOKUP($A34,$M:$N,2,0),$A$9:$J$9,0),MATCH(VLOOKUP($B34,$M:$N,2,0),$A$9:$J$9,0))</f>
        <v>480</v>
      </c>
      <c r="D34" s="43"/>
      <c r="E34" s="43"/>
    </row>
    <row r="35" spans="1:5" ht="15" x14ac:dyDescent="0.25">
      <c r="A35" s="8">
        <v>10112</v>
      </c>
      <c r="B35" s="12">
        <v>10116</v>
      </c>
      <c r="C35" s="43">
        <f t="shared" si="0"/>
        <v>105</v>
      </c>
      <c r="D35" s="43"/>
      <c r="E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Shashank Bhardwaj</cp:lastModifiedBy>
  <dcterms:created xsi:type="dcterms:W3CDTF">2015-02-10T17:33:11Z</dcterms:created>
  <dcterms:modified xsi:type="dcterms:W3CDTF">2023-12-10T16:34:16Z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4be1c727-a09b-4104-ab27-7a1bf46edc5e</vt:lpwstr>
  </property>
</Properties>
</file>